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 Shi Min\Documents\world_cup\data\"/>
    </mc:Choice>
  </mc:AlternateContent>
  <xr:revisionPtr revIDLastSave="0" documentId="8_{C8408EEA-5760-437A-834C-AB4AE66D79B0}" xr6:coauthVersionLast="47" xr6:coauthVersionMax="47" xr10:uidLastSave="{00000000-0000-0000-0000-000000000000}"/>
  <bookViews>
    <workbookView xWindow="-5340" yWindow="-21720" windowWidth="38640" windowHeight="21240" xr2:uid="{D17D1942-73D2-40AF-A530-F6B0F0AF4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</calcChain>
</file>

<file path=xl/sharedStrings.xml><?xml version="1.0" encoding="utf-8"?>
<sst xmlns="http://schemas.openxmlformats.org/spreadsheetml/2006/main" count="320" uniqueCount="225">
  <si>
    <t>"</t>
  </si>
  <si>
    <t>,</t>
  </si>
  <si>
    <t>Alavés</t>
  </si>
  <si>
    <t>Vitoria-Gasteiz</t>
  </si>
  <si>
    <t>Campo de Fútbol de Mendizorrotza</t>
  </si>
  <si>
    <t>19,840[7]</t>
  </si>
  <si>
    <t>Athletic Bilbao</t>
  </si>
  <si>
    <t>Bilbao</t>
  </si>
  <si>
    <t>Estadio San Mamés</t>
  </si>
  <si>
    <t>Barcelona</t>
  </si>
  <si>
    <t>Camp Nou</t>
  </si>
  <si>
    <t>Celta Vigo</t>
  </si>
  <si>
    <t>Vigo</t>
  </si>
  <si>
    <t>Estadio ABANCA Balaídos</t>
  </si>
  <si>
    <t>Deportivo A Coruña</t>
  </si>
  <si>
    <t>A Coruña</t>
  </si>
  <si>
    <t>Estadio ABANCA-RIAZOR</t>
  </si>
  <si>
    <t>32,660[8]</t>
  </si>
  <si>
    <t>Elche</t>
  </si>
  <si>
    <t>Estadio Martínez Valero</t>
  </si>
  <si>
    <t>31,388[9]</t>
  </si>
  <si>
    <t>Espanyol</t>
  </si>
  <si>
    <t>Cornellà de Llobregat</t>
  </si>
  <si>
    <t>RCDE Stadium</t>
  </si>
  <si>
    <t>37,776[10]</t>
  </si>
  <si>
    <t>Getafe</t>
  </si>
  <si>
    <t>Estadio Coliseum</t>
  </si>
  <si>
    <t>16,500[11]</t>
  </si>
  <si>
    <t>Levante</t>
  </si>
  <si>
    <t>Valencia</t>
  </si>
  <si>
    <t>Estadio Ciutat de València</t>
  </si>
  <si>
    <t>26,354[12]</t>
  </si>
  <si>
    <t>Atlético Madrid</t>
  </si>
  <si>
    <t>Madrid</t>
  </si>
  <si>
    <t>Estadio Riyadh Air Metropolitano</t>
  </si>
  <si>
    <t>Málaga</t>
  </si>
  <si>
    <t>La Rosaleda Stadium</t>
  </si>
  <si>
    <t>30,044[13]</t>
  </si>
  <si>
    <t>Osasuna</t>
  </si>
  <si>
    <t>Pamplona</t>
  </si>
  <si>
    <t>Estadio El Sadar</t>
  </si>
  <si>
    <t>23,576[14]</t>
  </si>
  <si>
    <t>Racing Santander</t>
  </si>
  <si>
    <t>Santander</t>
  </si>
  <si>
    <t>Campos de Sport de El Sardinero</t>
  </si>
  <si>
    <t>22,308[15]</t>
  </si>
  <si>
    <t>Rayo Vallecano</t>
  </si>
  <si>
    <t>El Campo de Fútbol de Vallecas</t>
  </si>
  <si>
    <t>14,708[16]</t>
  </si>
  <si>
    <t>Real Betis</t>
  </si>
  <si>
    <t>Seville</t>
  </si>
  <si>
    <t>Estadio Olímpico de la Cartuja</t>
  </si>
  <si>
    <t>Real Madrid</t>
  </si>
  <si>
    <t>Bernabéu</t>
  </si>
  <si>
    <t>Real Sociedad</t>
  </si>
  <si>
    <t>San Sebastián</t>
  </si>
  <si>
    <t>Reale Arena</t>
  </si>
  <si>
    <t>39,313[17]</t>
  </si>
  <si>
    <t>Sevilla</t>
  </si>
  <si>
    <t>Estadio Ramón Sánchez-Pizjuán</t>
  </si>
  <si>
    <t>43,883[18]</t>
  </si>
  <si>
    <t>Camp de Mestalla</t>
  </si>
  <si>
    <t>49,430[19]</t>
  </si>
  <si>
    <t>Villarreal</t>
  </si>
  <si>
    <t>Estadio de la Cerámica</t>
  </si>
  <si>
    <t>23,008[20</t>
  </si>
  <si>
    <t>FC Augsburg</t>
  </si>
  <si>
    <t>Augsburg</t>
  </si>
  <si>
    <t>WWK Arena</t>
  </si>
  <si>
    <t>[2]</t>
  </si>
  <si>
    <t>Union Berlin</t>
  </si>
  <si>
    <t>Berlin</t>
  </si>
  <si>
    <t>Stadion An der Alten Försterei</t>
  </si>
  <si>
    <t>[3]</t>
  </si>
  <si>
    <t>Werder Bremen</t>
  </si>
  <si>
    <t>Bremen</t>
  </si>
  <si>
    <t>Weserstadion</t>
  </si>
  <si>
    <t>[4]</t>
  </si>
  <si>
    <t>Borussia Dortmund</t>
  </si>
  <si>
    <t>Dortmund</t>
  </si>
  <si>
    <t>Signal Iduna Park</t>
  </si>
  <si>
    <t>[5]</t>
  </si>
  <si>
    <t>SV Elversberg</t>
  </si>
  <si>
    <t>Spiesen-Elversberg</t>
  </si>
  <si>
    <t>Waldstadion an der Kaiserlinde</t>
  </si>
  <si>
    <t>[6]</t>
  </si>
  <si>
    <t>Eintracht Frankfurt</t>
  </si>
  <si>
    <t>Frankfurt</t>
  </si>
  <si>
    <t>Deutsche Bank Park</t>
  </si>
  <si>
    <t>[7]</t>
  </si>
  <si>
    <t>SC Freiburg</t>
  </si>
  <si>
    <t>Freiburg im Breisgau</t>
  </si>
  <si>
    <t>Europa-Park Stadion</t>
  </si>
  <si>
    <t>[8]</t>
  </si>
  <si>
    <t>Hamburger SV</t>
  </si>
  <si>
    <t>Hamburg</t>
  </si>
  <si>
    <t>Volksparkstadion</t>
  </si>
  <si>
    <t>[9]</t>
  </si>
  <si>
    <t>TSG Hoffenheim</t>
  </si>
  <si>
    <t>Sinsheim</t>
  </si>
  <si>
    <t>PreZero Arena</t>
  </si>
  <si>
    <t>[10]</t>
  </si>
  <si>
    <t>1. FC Köln</t>
  </si>
  <si>
    <t>Cologne</t>
  </si>
  <si>
    <t>RheinEnergieStadion</t>
  </si>
  <si>
    <t>[11]</t>
  </si>
  <si>
    <t>RB Leipzig</t>
  </si>
  <si>
    <t>Leipzig</t>
  </si>
  <si>
    <t>Red Bull Arena</t>
  </si>
  <si>
    <t>[12]</t>
  </si>
  <si>
    <t>Bayer Leverkusen</t>
  </si>
  <si>
    <t>Leverkusen</t>
  </si>
  <si>
    <t>BayArena</t>
  </si>
  <si>
    <t>[13]</t>
  </si>
  <si>
    <t>Mainz 05</t>
  </si>
  <si>
    <t>Mainz</t>
  </si>
  <si>
    <t>MEWA Arena</t>
  </si>
  <si>
    <t>[14]</t>
  </si>
  <si>
    <t>Borussia Mönchengladbach</t>
  </si>
  <si>
    <t>Mönchengladbach</t>
  </si>
  <si>
    <t>Borussia-Park</t>
  </si>
  <si>
    <t>[15]</t>
  </si>
  <si>
    <t>Bayern Munich</t>
  </si>
  <si>
    <t>Munich</t>
  </si>
  <si>
    <t>Allianz Arena</t>
  </si>
  <si>
    <t>[16]</t>
  </si>
  <si>
    <t>SC Paderborn</t>
  </si>
  <si>
    <t>Paderborn</t>
  </si>
  <si>
    <t>Home Deluxe Arena</t>
  </si>
  <si>
    <t>[17]</t>
  </si>
  <si>
    <t>Schalke 04</t>
  </si>
  <si>
    <t>Gelsenkirchen</t>
  </si>
  <si>
    <t>Veltins-Arena</t>
  </si>
  <si>
    <t>[18]</t>
  </si>
  <si>
    <t>VfB Stuttgart</t>
  </si>
  <si>
    <t>Stuttgart</t>
  </si>
  <si>
    <t>MHPArena</t>
  </si>
  <si>
    <t>[19</t>
  </si>
  <si>
    <t>Angers</t>
  </si>
  <si>
    <t>Stade Raymond Kopa</t>
  </si>
  <si>
    <t>Auxerre</t>
  </si>
  <si>
    <t>Stade Abbé Deschamps</t>
  </si>
  <si>
    <t>Brest</t>
  </si>
  <si>
    <t>Stade Francis-Le Blé</t>
  </si>
  <si>
    <t>Le Havre</t>
  </si>
  <si>
    <t>Stade Océane</t>
  </si>
  <si>
    <t>Le Mans</t>
  </si>
  <si>
    <t>Stade Marie-Marvingt</t>
  </si>
  <si>
    <t>Lens</t>
  </si>
  <si>
    <t>Stade Bollaert-Delelis</t>
  </si>
  <si>
    <t>Lille</t>
  </si>
  <si>
    <t>Villeneuve-d'Ascq</t>
  </si>
  <si>
    <t>Stade Pierre-Mauroy</t>
  </si>
  <si>
    <t>Lorient</t>
  </si>
  <si>
    <t>Stade du Moustoir</t>
  </si>
  <si>
    <t>Lyon</t>
  </si>
  <si>
    <t>Décines-Charpieu</t>
  </si>
  <si>
    <t>Groupama Stadium</t>
  </si>
  <si>
    <t>Marseille</t>
  </si>
  <si>
    <t>Stade Vélodrome</t>
  </si>
  <si>
    <t>Monaco</t>
  </si>
  <si>
    <t>Stade Louis II</t>
  </si>
  <si>
    <t>Nice</t>
  </si>
  <si>
    <t>Allianz Riviera</t>
  </si>
  <si>
    <t>Paris FC</t>
  </si>
  <si>
    <t>Stade Jean-Bouin</t>
  </si>
  <si>
    <t>Paris Saint-Germain</t>
  </si>
  <si>
    <t>Parc des Princes</t>
  </si>
  <si>
    <t>Rennes</t>
  </si>
  <si>
    <t>Roazhon Park</t>
  </si>
  <si>
    <t>Strasbourg</t>
  </si>
  <si>
    <t>Stade de la Meinau</t>
  </si>
  <si>
    <t>Toulouse</t>
  </si>
  <si>
    <t>Stadium de Toulouse</t>
  </si>
  <si>
    <t>Troyes</t>
  </si>
  <si>
    <t>Stade de l'Aube</t>
  </si>
  <si>
    <t>Monaco Monaco</t>
  </si>
  <si>
    <t>Paris (Paris 16)</t>
  </si>
  <si>
    <t>Atalanta</t>
  </si>
  <si>
    <t>Bergamo</t>
  </si>
  <si>
    <t>Stadio di Bergamo</t>
  </si>
  <si>
    <t>Bologna</t>
  </si>
  <si>
    <t>Stadio Renato Dall'Ara</t>
  </si>
  <si>
    <t>Cagliari</t>
  </si>
  <si>
    <t>Unipol Domus</t>
  </si>
  <si>
    <t>Como</t>
  </si>
  <si>
    <t>Stadio Giuseppe Sinigaglia</t>
  </si>
  <si>
    <t>Fiorentina</t>
  </si>
  <si>
    <t>Florence</t>
  </si>
  <si>
    <t>Stadio Artemio Franchi</t>
  </si>
  <si>
    <t>Frosinone</t>
  </si>
  <si>
    <t>Stadio Benito Stirpe</t>
  </si>
  <si>
    <t>Genoa</t>
  </si>
  <si>
    <t>Stadio Luigi Ferraris</t>
  </si>
  <si>
    <t>Inter Milan</t>
  </si>
  <si>
    <t>Milan</t>
  </si>
  <si>
    <t>San Siro</t>
  </si>
  <si>
    <t>Juventus</t>
  </si>
  <si>
    <t>Turin</t>
  </si>
  <si>
    <t>Allianz Stadium</t>
  </si>
  <si>
    <t>Lazio</t>
  </si>
  <si>
    <t>Rome</t>
  </si>
  <si>
    <t>Stadio Olimpico</t>
  </si>
  <si>
    <t>Lecce</t>
  </si>
  <si>
    <t>Stadio Via del Mare-Ettore Giardiniero</t>
  </si>
  <si>
    <t>AC Milan</t>
  </si>
  <si>
    <t>Monza</t>
  </si>
  <si>
    <t>U-Power Stadium</t>
  </si>
  <si>
    <t>Napoli</t>
  </si>
  <si>
    <t>Naples</t>
  </si>
  <si>
    <t>Stadio Diego Armando Maradona</t>
  </si>
  <si>
    <t>Parma</t>
  </si>
  <si>
    <t>Stadio Ennio Tardini</t>
  </si>
  <si>
    <t>Roma</t>
  </si>
  <si>
    <t>Sassuolo</t>
  </si>
  <si>
    <t>Reggio Emilia</t>
  </si>
  <si>
    <t>Mapei Stadium – Città del Tricolore</t>
  </si>
  <si>
    <t>Torino</t>
  </si>
  <si>
    <t>Stadio Olimpico Grande Torino</t>
  </si>
  <si>
    <t>Udinese</t>
  </si>
  <si>
    <t>Udine</t>
  </si>
  <si>
    <t>Bluenergy Stadium</t>
  </si>
  <si>
    <t>Venezia</t>
  </si>
  <si>
    <t>Venice</t>
  </si>
  <si>
    <t>Stadio Pier Luigi Penzo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</si>
</sst>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4507-B62E-4A83-9BD7-FADE88DA8FDA}">
  <dimension ref="B1:AG20"/>
  <sheetViews>
    <sheetView tabSelected="1" workbookViewId="0">
      <selection activeCell="E1" sqref="E1:E20"/>
    </sheetView>
  </sheetViews>
  <sheetFormatPr defaultRowHeight="14.4" x14ac:dyDescent="0.3"/>
  <cols>
    <col min="5" max="5" width="51" customWidth="1"/>
  </cols>
  <sheetData>
    <row r="1" spans="2:33" x14ac:dyDescent="0.3">
      <c r="B1" t="s">
        <v>178</v>
      </c>
      <c r="C1" t="s">
        <v>0</v>
      </c>
      <c r="D1" t="s">
        <v>1</v>
      </c>
      <c r="E1" t="str">
        <f>_xlfn.CONCAT(C1,B1,C1,D1)</f>
        <v>"Atalanta",</v>
      </c>
      <c r="N1" t="s">
        <v>2</v>
      </c>
      <c r="O1" t="s">
        <v>3</v>
      </c>
      <c r="P1" t="s">
        <v>4</v>
      </c>
      <c r="Q1" t="s">
        <v>5</v>
      </c>
      <c r="S1" t="s">
        <v>66</v>
      </c>
      <c r="T1" t="s">
        <v>67</v>
      </c>
      <c r="U1" t="s">
        <v>68</v>
      </c>
      <c r="V1" s="1">
        <v>30660</v>
      </c>
      <c r="W1" t="s">
        <v>69</v>
      </c>
      <c r="Y1" t="s">
        <v>138</v>
      </c>
      <c r="Z1" t="s">
        <v>138</v>
      </c>
      <c r="AA1" t="s">
        <v>139</v>
      </c>
      <c r="AB1" s="1">
        <v>18752</v>
      </c>
      <c r="AD1" t="s">
        <v>178</v>
      </c>
      <c r="AE1" t="s">
        <v>179</v>
      </c>
      <c r="AF1" t="s">
        <v>180</v>
      </c>
      <c r="AG1" s="1">
        <v>23439</v>
      </c>
    </row>
    <row r="2" spans="2:33" x14ac:dyDescent="0.3">
      <c r="B2" t="s">
        <v>181</v>
      </c>
      <c r="C2" t="s">
        <v>0</v>
      </c>
      <c r="D2" t="s">
        <v>1</v>
      </c>
      <c r="E2" t="str">
        <f t="shared" ref="E2:E20" si="0">_xlfn.CONCAT(C2,B2,C2,D2)</f>
        <v>"Bologna",</v>
      </c>
      <c r="N2" t="s">
        <v>6</v>
      </c>
      <c r="O2" t="s">
        <v>7</v>
      </c>
      <c r="P2" t="s">
        <v>8</v>
      </c>
      <c r="Q2" s="1">
        <v>53289</v>
      </c>
      <c r="S2" t="s">
        <v>70</v>
      </c>
      <c r="T2" t="s">
        <v>71</v>
      </c>
      <c r="U2" t="s">
        <v>72</v>
      </c>
      <c r="V2" s="1">
        <v>22012</v>
      </c>
      <c r="W2" t="s">
        <v>73</v>
      </c>
      <c r="Y2" t="s">
        <v>140</v>
      </c>
      <c r="Z2" t="s">
        <v>140</v>
      </c>
      <c r="AA2" t="s">
        <v>141</v>
      </c>
      <c r="AB2" s="1">
        <v>21379</v>
      </c>
      <c r="AD2" t="s">
        <v>181</v>
      </c>
      <c r="AE2" t="s">
        <v>181</v>
      </c>
      <c r="AF2" t="s">
        <v>182</v>
      </c>
      <c r="AG2" s="1">
        <v>38279</v>
      </c>
    </row>
    <row r="3" spans="2:33" x14ac:dyDescent="0.3">
      <c r="B3" t="s">
        <v>183</v>
      </c>
      <c r="C3" t="s">
        <v>0</v>
      </c>
      <c r="D3" t="s">
        <v>1</v>
      </c>
      <c r="E3" t="str">
        <f t="shared" si="0"/>
        <v>"Cagliari",</v>
      </c>
      <c r="N3" t="s">
        <v>9</v>
      </c>
      <c r="O3" t="s">
        <v>9</v>
      </c>
      <c r="P3" t="s">
        <v>10</v>
      </c>
      <c r="Q3" s="1">
        <v>105000</v>
      </c>
      <c r="S3" t="s">
        <v>74</v>
      </c>
      <c r="T3" t="s">
        <v>75</v>
      </c>
      <c r="U3" t="s">
        <v>76</v>
      </c>
      <c r="V3" s="1">
        <v>42100</v>
      </c>
      <c r="W3" t="s">
        <v>77</v>
      </c>
      <c r="Y3" t="s">
        <v>142</v>
      </c>
      <c r="Z3" t="s">
        <v>142</v>
      </c>
      <c r="AA3" t="s">
        <v>143</v>
      </c>
      <c r="AB3" s="1">
        <v>15931</v>
      </c>
      <c r="AD3" t="s">
        <v>183</v>
      </c>
      <c r="AE3" t="s">
        <v>183</v>
      </c>
      <c r="AF3" t="s">
        <v>184</v>
      </c>
      <c r="AG3" s="1">
        <v>16416</v>
      </c>
    </row>
    <row r="4" spans="2:33" x14ac:dyDescent="0.3">
      <c r="B4" t="s">
        <v>185</v>
      </c>
      <c r="C4" t="s">
        <v>0</v>
      </c>
      <c r="D4" t="s">
        <v>1</v>
      </c>
      <c r="E4" t="str">
        <f t="shared" si="0"/>
        <v>"Como",</v>
      </c>
      <c r="N4" t="s">
        <v>11</v>
      </c>
      <c r="O4" t="s">
        <v>12</v>
      </c>
      <c r="P4" t="s">
        <v>13</v>
      </c>
      <c r="Q4" s="1">
        <v>24870</v>
      </c>
      <c r="S4" t="s">
        <v>78</v>
      </c>
      <c r="T4" t="s">
        <v>79</v>
      </c>
      <c r="U4" t="s">
        <v>80</v>
      </c>
      <c r="V4" s="1">
        <v>81365</v>
      </c>
      <c r="W4" t="s">
        <v>81</v>
      </c>
      <c r="Y4" t="s">
        <v>144</v>
      </c>
      <c r="Z4" t="s">
        <v>144</v>
      </c>
      <c r="AA4" t="s">
        <v>145</v>
      </c>
      <c r="AB4" s="1">
        <v>25178</v>
      </c>
      <c r="AD4" t="s">
        <v>185</v>
      </c>
      <c r="AE4" t="s">
        <v>185</v>
      </c>
      <c r="AF4" t="s">
        <v>186</v>
      </c>
      <c r="AG4" s="1">
        <v>13602</v>
      </c>
    </row>
    <row r="5" spans="2:33" x14ac:dyDescent="0.3">
      <c r="B5" t="s">
        <v>187</v>
      </c>
      <c r="C5" t="s">
        <v>0</v>
      </c>
      <c r="D5" t="s">
        <v>1</v>
      </c>
      <c r="E5" t="str">
        <f t="shared" si="0"/>
        <v>"Fiorentina",</v>
      </c>
      <c r="N5" t="s">
        <v>14</v>
      </c>
      <c r="O5" t="s">
        <v>15</v>
      </c>
      <c r="P5" t="s">
        <v>16</v>
      </c>
      <c r="Q5" t="s">
        <v>17</v>
      </c>
      <c r="S5" t="s">
        <v>82</v>
      </c>
      <c r="T5" t="s">
        <v>83</v>
      </c>
      <c r="U5" t="s">
        <v>84</v>
      </c>
      <c r="V5" s="1">
        <v>10000</v>
      </c>
      <c r="W5" t="s">
        <v>85</v>
      </c>
      <c r="Y5" t="s">
        <v>146</v>
      </c>
      <c r="Z5" t="s">
        <v>146</v>
      </c>
      <c r="AA5" t="s">
        <v>147</v>
      </c>
      <c r="AB5" s="1">
        <v>25000</v>
      </c>
      <c r="AD5" t="s">
        <v>187</v>
      </c>
      <c r="AE5" t="s">
        <v>188</v>
      </c>
      <c r="AF5" t="s">
        <v>189</v>
      </c>
      <c r="AG5" s="1">
        <v>43118</v>
      </c>
    </row>
    <row r="6" spans="2:33" x14ac:dyDescent="0.3">
      <c r="B6" t="s">
        <v>190</v>
      </c>
      <c r="C6" t="s">
        <v>0</v>
      </c>
      <c r="D6" t="s">
        <v>1</v>
      </c>
      <c r="E6" t="str">
        <f t="shared" si="0"/>
        <v>"Frosinone",</v>
      </c>
      <c r="N6" t="s">
        <v>18</v>
      </c>
      <c r="O6" t="s">
        <v>18</v>
      </c>
      <c r="P6" t="s">
        <v>19</v>
      </c>
      <c r="Q6" t="s">
        <v>20</v>
      </c>
      <c r="S6" t="s">
        <v>86</v>
      </c>
      <c r="T6" t="s">
        <v>87</v>
      </c>
      <c r="U6" t="s">
        <v>88</v>
      </c>
      <c r="V6" s="1">
        <v>59500</v>
      </c>
      <c r="W6" t="s">
        <v>89</v>
      </c>
      <c r="Y6" t="s">
        <v>148</v>
      </c>
      <c r="Z6" t="s">
        <v>148</v>
      </c>
      <c r="AA6" t="s">
        <v>149</v>
      </c>
      <c r="AB6" s="1">
        <v>37705</v>
      </c>
      <c r="AD6" t="s">
        <v>190</v>
      </c>
      <c r="AE6" t="s">
        <v>190</v>
      </c>
      <c r="AF6" t="s">
        <v>191</v>
      </c>
      <c r="AG6" s="1">
        <v>16227</v>
      </c>
    </row>
    <row r="7" spans="2:33" x14ac:dyDescent="0.3">
      <c r="B7" t="s">
        <v>192</v>
      </c>
      <c r="C7" t="s">
        <v>0</v>
      </c>
      <c r="D7" t="s">
        <v>1</v>
      </c>
      <c r="E7" t="str">
        <f t="shared" si="0"/>
        <v>"Genoa",</v>
      </c>
      <c r="N7" t="s">
        <v>21</v>
      </c>
      <c r="O7" t="s">
        <v>22</v>
      </c>
      <c r="P7" t="s">
        <v>23</v>
      </c>
      <c r="Q7" t="s">
        <v>24</v>
      </c>
      <c r="S7" t="s">
        <v>90</v>
      </c>
      <c r="T7" t="s">
        <v>91</v>
      </c>
      <c r="U7" t="s">
        <v>92</v>
      </c>
      <c r="V7" s="1">
        <v>34700</v>
      </c>
      <c r="W7" t="s">
        <v>93</v>
      </c>
      <c r="Y7" t="s">
        <v>150</v>
      </c>
      <c r="Z7" t="s">
        <v>151</v>
      </c>
      <c r="AA7" t="s">
        <v>152</v>
      </c>
      <c r="AB7" s="1">
        <v>50186</v>
      </c>
      <c r="AD7" t="s">
        <v>192</v>
      </c>
      <c r="AE7" t="s">
        <v>192</v>
      </c>
      <c r="AF7" t="s">
        <v>193</v>
      </c>
      <c r="AG7" s="1">
        <v>33205</v>
      </c>
    </row>
    <row r="8" spans="2:33" x14ac:dyDescent="0.3">
      <c r="B8" t="s">
        <v>194</v>
      </c>
      <c r="C8" t="s">
        <v>0</v>
      </c>
      <c r="D8" t="s">
        <v>1</v>
      </c>
      <c r="E8" t="str">
        <f t="shared" si="0"/>
        <v>"Inter Milan",</v>
      </c>
      <c r="N8" t="s">
        <v>25</v>
      </c>
      <c r="O8" t="s">
        <v>25</v>
      </c>
      <c r="P8" t="s">
        <v>26</v>
      </c>
      <c r="Q8" t="s">
        <v>27</v>
      </c>
      <c r="S8" t="s">
        <v>94</v>
      </c>
      <c r="T8" t="s">
        <v>95</v>
      </c>
      <c r="U8" t="s">
        <v>96</v>
      </c>
      <c r="V8" s="1">
        <v>57000</v>
      </c>
      <c r="W8" t="s">
        <v>97</v>
      </c>
      <c r="Y8" t="s">
        <v>153</v>
      </c>
      <c r="Z8" t="s">
        <v>153</v>
      </c>
      <c r="AA8" t="s">
        <v>154</v>
      </c>
      <c r="AB8" s="1">
        <v>18890</v>
      </c>
      <c r="AD8" t="s">
        <v>194</v>
      </c>
      <c r="AE8" t="s">
        <v>195</v>
      </c>
      <c r="AF8" t="s">
        <v>196</v>
      </c>
      <c r="AG8" s="1">
        <v>75710</v>
      </c>
    </row>
    <row r="9" spans="2:33" x14ac:dyDescent="0.3">
      <c r="B9" t="s">
        <v>197</v>
      </c>
      <c r="C9" t="s">
        <v>0</v>
      </c>
      <c r="D9" t="s">
        <v>1</v>
      </c>
      <c r="E9" t="str">
        <f t="shared" si="0"/>
        <v>"Juventus",</v>
      </c>
      <c r="N9" t="s">
        <v>28</v>
      </c>
      <c r="O9" t="s">
        <v>29</v>
      </c>
      <c r="P9" t="s">
        <v>30</v>
      </c>
      <c r="Q9" t="s">
        <v>31</v>
      </c>
      <c r="S9" t="s">
        <v>98</v>
      </c>
      <c r="T9" t="s">
        <v>99</v>
      </c>
      <c r="U9" t="s">
        <v>100</v>
      </c>
      <c r="V9" s="1">
        <v>30150</v>
      </c>
      <c r="W9" t="s">
        <v>101</v>
      </c>
      <c r="Y9" t="s">
        <v>155</v>
      </c>
      <c r="Z9" t="s">
        <v>156</v>
      </c>
      <c r="AA9" t="s">
        <v>157</v>
      </c>
      <c r="AB9" s="1">
        <v>59186</v>
      </c>
      <c r="AD9" t="s">
        <v>197</v>
      </c>
      <c r="AE9" t="s">
        <v>198</v>
      </c>
      <c r="AF9" t="s">
        <v>199</v>
      </c>
      <c r="AG9" s="1">
        <v>41507</v>
      </c>
    </row>
    <row r="10" spans="2:33" x14ac:dyDescent="0.3">
      <c r="B10" t="s">
        <v>200</v>
      </c>
      <c r="C10" t="s">
        <v>0</v>
      </c>
      <c r="D10" t="s">
        <v>1</v>
      </c>
      <c r="E10" t="str">
        <f t="shared" si="0"/>
        <v>"Lazio",</v>
      </c>
      <c r="N10" t="s">
        <v>32</v>
      </c>
      <c r="O10" t="s">
        <v>33</v>
      </c>
      <c r="P10" t="s">
        <v>34</v>
      </c>
      <c r="Q10" s="1">
        <v>70692</v>
      </c>
      <c r="S10" t="s">
        <v>102</v>
      </c>
      <c r="T10" t="s">
        <v>103</v>
      </c>
      <c r="U10" t="s">
        <v>104</v>
      </c>
      <c r="V10" s="1">
        <v>49698</v>
      </c>
      <c r="W10" t="s">
        <v>105</v>
      </c>
      <c r="Y10" t="s">
        <v>158</v>
      </c>
      <c r="Z10" t="s">
        <v>158</v>
      </c>
      <c r="AA10" t="s">
        <v>159</v>
      </c>
      <c r="AB10" s="1">
        <v>67394</v>
      </c>
      <c r="AD10" t="s">
        <v>200</v>
      </c>
      <c r="AE10" t="s">
        <v>201</v>
      </c>
      <c r="AF10" t="s">
        <v>202</v>
      </c>
      <c r="AG10" s="1">
        <v>70634</v>
      </c>
    </row>
    <row r="11" spans="2:33" x14ac:dyDescent="0.3">
      <c r="B11" t="s">
        <v>203</v>
      </c>
      <c r="C11" t="s">
        <v>0</v>
      </c>
      <c r="D11" t="s">
        <v>1</v>
      </c>
      <c r="E11" t="str">
        <f t="shared" si="0"/>
        <v>"Lecce",</v>
      </c>
      <c r="N11" t="s">
        <v>35</v>
      </c>
      <c r="O11" t="s">
        <v>35</v>
      </c>
      <c r="P11" t="s">
        <v>36</v>
      </c>
      <c r="Q11" t="s">
        <v>37</v>
      </c>
      <c r="S11" t="s">
        <v>106</v>
      </c>
      <c r="T11" t="s">
        <v>107</v>
      </c>
      <c r="U11" t="s">
        <v>108</v>
      </c>
      <c r="V11" s="1">
        <v>47800</v>
      </c>
      <c r="W11" t="s">
        <v>109</v>
      </c>
      <c r="Y11" t="s">
        <v>160</v>
      </c>
      <c r="Z11" t="s">
        <v>176</v>
      </c>
      <c r="AA11" t="s">
        <v>161</v>
      </c>
      <c r="AB11" s="1">
        <v>18523</v>
      </c>
      <c r="AD11" t="s">
        <v>203</v>
      </c>
      <c r="AE11" t="s">
        <v>203</v>
      </c>
      <c r="AF11" t="s">
        <v>204</v>
      </c>
      <c r="AG11" s="1">
        <v>30354</v>
      </c>
    </row>
    <row r="12" spans="2:33" x14ac:dyDescent="0.3">
      <c r="B12" t="s">
        <v>205</v>
      </c>
      <c r="C12" t="s">
        <v>0</v>
      </c>
      <c r="D12" t="s">
        <v>1</v>
      </c>
      <c r="E12" t="str">
        <f t="shared" si="0"/>
        <v>"AC Milan",</v>
      </c>
      <c r="N12" t="s">
        <v>38</v>
      </c>
      <c r="O12" t="s">
        <v>39</v>
      </c>
      <c r="P12" t="s">
        <v>40</v>
      </c>
      <c r="Q12" t="s">
        <v>41</v>
      </c>
      <c r="S12" t="s">
        <v>110</v>
      </c>
      <c r="T12" t="s">
        <v>111</v>
      </c>
      <c r="U12" t="s">
        <v>112</v>
      </c>
      <c r="V12" s="1">
        <v>30210</v>
      </c>
      <c r="W12" t="s">
        <v>113</v>
      </c>
      <c r="Y12" t="s">
        <v>162</v>
      </c>
      <c r="Z12" t="s">
        <v>162</v>
      </c>
      <c r="AA12" t="s">
        <v>163</v>
      </c>
      <c r="AB12" s="1">
        <v>35624</v>
      </c>
      <c r="AD12" t="s">
        <v>205</v>
      </c>
      <c r="AE12" t="s">
        <v>195</v>
      </c>
      <c r="AF12" t="s">
        <v>196</v>
      </c>
      <c r="AG12" s="1">
        <v>75710</v>
      </c>
    </row>
    <row r="13" spans="2:33" x14ac:dyDescent="0.3">
      <c r="B13" t="s">
        <v>206</v>
      </c>
      <c r="C13" t="s">
        <v>0</v>
      </c>
      <c r="D13" t="s">
        <v>1</v>
      </c>
      <c r="E13" t="str">
        <f t="shared" si="0"/>
        <v>"Monza",</v>
      </c>
      <c r="N13" t="s">
        <v>42</v>
      </c>
      <c r="O13" t="s">
        <v>43</v>
      </c>
      <c r="P13" t="s">
        <v>44</v>
      </c>
      <c r="Q13" t="s">
        <v>45</v>
      </c>
      <c r="S13" t="s">
        <v>114</v>
      </c>
      <c r="T13" t="s">
        <v>115</v>
      </c>
      <c r="U13" t="s">
        <v>116</v>
      </c>
      <c r="V13" s="1">
        <v>33305</v>
      </c>
      <c r="W13" t="s">
        <v>117</v>
      </c>
      <c r="Y13" t="s">
        <v>164</v>
      </c>
      <c r="Z13" t="s">
        <v>177</v>
      </c>
      <c r="AA13" t="s">
        <v>165</v>
      </c>
      <c r="AB13" s="1">
        <v>20000</v>
      </c>
      <c r="AD13" t="s">
        <v>206</v>
      </c>
      <c r="AE13" t="s">
        <v>206</v>
      </c>
      <c r="AF13" t="s">
        <v>207</v>
      </c>
      <c r="AG13" s="1">
        <v>17102</v>
      </c>
    </row>
    <row r="14" spans="2:33" x14ac:dyDescent="0.3">
      <c r="B14" t="s">
        <v>208</v>
      </c>
      <c r="C14" t="s">
        <v>0</v>
      </c>
      <c r="D14" t="s">
        <v>1</v>
      </c>
      <c r="E14" t="str">
        <f t="shared" si="0"/>
        <v>"Napoli",</v>
      </c>
      <c r="N14" t="s">
        <v>46</v>
      </c>
      <c r="O14" t="s">
        <v>33</v>
      </c>
      <c r="P14" t="s">
        <v>47</v>
      </c>
      <c r="Q14" t="s">
        <v>48</v>
      </c>
      <c r="S14" t="s">
        <v>118</v>
      </c>
      <c r="T14" t="s">
        <v>119</v>
      </c>
      <c r="U14" t="s">
        <v>120</v>
      </c>
      <c r="V14" s="1">
        <v>54057</v>
      </c>
      <c r="W14" t="s">
        <v>121</v>
      </c>
      <c r="Y14" t="s">
        <v>166</v>
      </c>
      <c r="Z14" t="s">
        <v>177</v>
      </c>
      <c r="AA14" t="s">
        <v>167</v>
      </c>
      <c r="AB14" s="1">
        <v>47926</v>
      </c>
      <c r="AD14" t="s">
        <v>208</v>
      </c>
      <c r="AE14" t="s">
        <v>209</v>
      </c>
      <c r="AF14" t="s">
        <v>210</v>
      </c>
      <c r="AG14" s="1">
        <v>54732</v>
      </c>
    </row>
    <row r="15" spans="2:33" x14ac:dyDescent="0.3">
      <c r="B15" t="s">
        <v>211</v>
      </c>
      <c r="C15" t="s">
        <v>0</v>
      </c>
      <c r="D15" t="s">
        <v>1</v>
      </c>
      <c r="E15" t="str">
        <f t="shared" si="0"/>
        <v>"Parma",</v>
      </c>
      <c r="N15" t="s">
        <v>49</v>
      </c>
      <c r="O15" t="s">
        <v>50</v>
      </c>
      <c r="P15" t="s">
        <v>51</v>
      </c>
      <c r="Q15" s="1">
        <v>70000</v>
      </c>
      <c r="S15" t="s">
        <v>122</v>
      </c>
      <c r="T15" t="s">
        <v>123</v>
      </c>
      <c r="U15" t="s">
        <v>124</v>
      </c>
      <c r="V15" s="1">
        <v>75000</v>
      </c>
      <c r="W15" t="s">
        <v>125</v>
      </c>
      <c r="Y15" t="s">
        <v>168</v>
      </c>
      <c r="Z15" t="s">
        <v>168</v>
      </c>
      <c r="AA15" t="s">
        <v>169</v>
      </c>
      <c r="AB15" s="1">
        <v>29778</v>
      </c>
      <c r="AD15" t="s">
        <v>211</v>
      </c>
      <c r="AE15" t="s">
        <v>211</v>
      </c>
      <c r="AF15" t="s">
        <v>212</v>
      </c>
      <c r="AG15" s="1">
        <v>22352</v>
      </c>
    </row>
    <row r="16" spans="2:33" x14ac:dyDescent="0.3">
      <c r="B16" t="s">
        <v>213</v>
      </c>
      <c r="C16" t="s">
        <v>0</v>
      </c>
      <c r="D16" t="s">
        <v>1</v>
      </c>
      <c r="E16" t="str">
        <f t="shared" si="0"/>
        <v>"Roma",</v>
      </c>
      <c r="N16" t="s">
        <v>52</v>
      </c>
      <c r="O16" t="s">
        <v>33</v>
      </c>
      <c r="P16" t="s">
        <v>53</v>
      </c>
      <c r="Q16" s="1">
        <v>83186</v>
      </c>
      <c r="S16" t="s">
        <v>126</v>
      </c>
      <c r="T16" t="s">
        <v>127</v>
      </c>
      <c r="U16" t="s">
        <v>128</v>
      </c>
      <c r="V16" s="1">
        <v>15000</v>
      </c>
      <c r="W16" t="s">
        <v>129</v>
      </c>
      <c r="Y16" t="s">
        <v>170</v>
      </c>
      <c r="Z16" t="s">
        <v>170</v>
      </c>
      <c r="AA16" t="s">
        <v>171</v>
      </c>
      <c r="AB16" s="1">
        <v>29230</v>
      </c>
      <c r="AD16" t="s">
        <v>213</v>
      </c>
      <c r="AE16" t="s">
        <v>201</v>
      </c>
      <c r="AF16" t="s">
        <v>202</v>
      </c>
      <c r="AG16" s="1">
        <v>70634</v>
      </c>
    </row>
    <row r="17" spans="2:33" x14ac:dyDescent="0.3">
      <c r="B17" t="s">
        <v>214</v>
      </c>
      <c r="C17" t="s">
        <v>0</v>
      </c>
      <c r="D17" t="s">
        <v>1</v>
      </c>
      <c r="E17" t="str">
        <f t="shared" si="0"/>
        <v>"Sassuolo",</v>
      </c>
      <c r="N17" t="s">
        <v>54</v>
      </c>
      <c r="O17" t="s">
        <v>55</v>
      </c>
      <c r="P17" t="s">
        <v>56</v>
      </c>
      <c r="Q17" t="s">
        <v>57</v>
      </c>
      <c r="S17" t="s">
        <v>130</v>
      </c>
      <c r="T17" t="s">
        <v>131</v>
      </c>
      <c r="U17" t="s">
        <v>132</v>
      </c>
      <c r="V17" s="1">
        <v>62271</v>
      </c>
      <c r="W17" t="s">
        <v>133</v>
      </c>
      <c r="Y17" t="s">
        <v>172</v>
      </c>
      <c r="Z17" t="s">
        <v>172</v>
      </c>
      <c r="AA17" t="s">
        <v>173</v>
      </c>
      <c r="AB17" s="1">
        <v>33150</v>
      </c>
      <c r="AD17" t="s">
        <v>214</v>
      </c>
      <c r="AE17" t="s">
        <v>215</v>
      </c>
      <c r="AF17" t="s">
        <v>216</v>
      </c>
      <c r="AG17" s="1">
        <v>21515</v>
      </c>
    </row>
    <row r="18" spans="2:33" x14ac:dyDescent="0.3">
      <c r="B18" t="s">
        <v>217</v>
      </c>
      <c r="C18" t="s">
        <v>0</v>
      </c>
      <c r="D18" t="s">
        <v>1</v>
      </c>
      <c r="E18" t="str">
        <f t="shared" si="0"/>
        <v>"Torino",</v>
      </c>
      <c r="N18" t="s">
        <v>58</v>
      </c>
      <c r="O18" t="s">
        <v>50</v>
      </c>
      <c r="P18" t="s">
        <v>59</v>
      </c>
      <c r="Q18" t="s">
        <v>60</v>
      </c>
      <c r="S18" t="s">
        <v>134</v>
      </c>
      <c r="T18" t="s">
        <v>135</v>
      </c>
      <c r="U18" t="s">
        <v>136</v>
      </c>
      <c r="V18" s="1">
        <v>60058</v>
      </c>
      <c r="W18" t="s">
        <v>137</v>
      </c>
      <c r="Y18" t="s">
        <v>174</v>
      </c>
      <c r="Z18" t="s">
        <v>174</v>
      </c>
      <c r="AA18" t="s">
        <v>175</v>
      </c>
      <c r="AB18" s="1">
        <v>20400</v>
      </c>
      <c r="AD18" t="s">
        <v>217</v>
      </c>
      <c r="AE18" t="s">
        <v>198</v>
      </c>
      <c r="AF18" t="s">
        <v>218</v>
      </c>
      <c r="AG18" s="1">
        <v>28177</v>
      </c>
    </row>
    <row r="19" spans="2:33" x14ac:dyDescent="0.3">
      <c r="B19" t="s">
        <v>219</v>
      </c>
      <c r="C19" t="s">
        <v>0</v>
      </c>
      <c r="D19" t="s">
        <v>1</v>
      </c>
      <c r="E19" t="str">
        <f t="shared" si="0"/>
        <v>"Udinese",</v>
      </c>
      <c r="N19" t="s">
        <v>29</v>
      </c>
      <c r="O19" t="s">
        <v>29</v>
      </c>
      <c r="P19" t="s">
        <v>61</v>
      </c>
      <c r="Q19" t="s">
        <v>62</v>
      </c>
      <c r="AD19" t="s">
        <v>219</v>
      </c>
      <c r="AE19" t="s">
        <v>220</v>
      </c>
      <c r="AF19" t="s">
        <v>221</v>
      </c>
      <c r="AG19" s="1">
        <v>25132</v>
      </c>
    </row>
    <row r="20" spans="2:33" x14ac:dyDescent="0.3">
      <c r="B20" t="s">
        <v>222</v>
      </c>
      <c r="C20" t="s">
        <v>0</v>
      </c>
      <c r="D20" t="s">
        <v>1</v>
      </c>
      <c r="E20" t="str">
        <f t="shared" si="0"/>
        <v>"Venezia",</v>
      </c>
      <c r="N20" t="s">
        <v>63</v>
      </c>
      <c r="O20" t="s">
        <v>63</v>
      </c>
      <c r="P20" t="s">
        <v>64</v>
      </c>
      <c r="Q20" t="s">
        <v>65</v>
      </c>
      <c r="AD20" t="s">
        <v>222</v>
      </c>
      <c r="AE20" t="s">
        <v>223</v>
      </c>
      <c r="AF20" t="s">
        <v>224</v>
      </c>
      <c r="AG20" s="1">
        <v>12048</v>
      </c>
    </row>
  </sheetData>
  <sortState xmlns:xlrd2="http://schemas.microsoft.com/office/spreadsheetml/2017/richdata2" ref="A1:M20">
    <sortCondition ref="A1:A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Min Chua</dc:creator>
  <cp:lastModifiedBy>Shi Min Chua</cp:lastModifiedBy>
  <dcterms:created xsi:type="dcterms:W3CDTF">2026-06-28T15:05:41Z</dcterms:created>
  <dcterms:modified xsi:type="dcterms:W3CDTF">2026-06-28T15:28:26Z</dcterms:modified>
</cp:coreProperties>
</file>